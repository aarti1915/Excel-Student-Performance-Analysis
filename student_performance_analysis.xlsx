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Aarti\Learning\excel_projects\"/>
    </mc:Choice>
  </mc:AlternateContent>
  <xr:revisionPtr revIDLastSave="0" documentId="13_ncr:1_{19CBF515-8E72-4BDE-9518-A4766A7BAFA3}" xr6:coauthVersionLast="47" xr6:coauthVersionMax="47" xr10:uidLastSave="{00000000-0000-0000-0000-000000000000}"/>
  <bookViews>
    <workbookView xWindow="-108" yWindow="-108" windowWidth="23256" windowHeight="12576" xr2:uid="{541D41E7-A722-4DB1-8876-F39BCFF863D9}"/>
  </bookViews>
  <sheets>
    <sheet name="Student_Data" sheetId="1" r:id="rId1"/>
    <sheet name="Analysis" sheetId="2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8" i="4" l="1"/>
  <c r="X28" i="4"/>
  <c r="U28" i="4"/>
  <c r="S28" i="4"/>
  <c r="Q28" i="4"/>
  <c r="O28" i="4"/>
  <c r="E11" i="4"/>
  <c r="A11" i="4"/>
  <c r="I6" i="4"/>
  <c r="E6" i="4"/>
  <c r="A6" i="4"/>
  <c r="B7" i="2" a="1"/>
  <c r="B7" i="2" s="1"/>
  <c r="B6" i="2"/>
  <c r="B5" i="2"/>
  <c r="B4" i="2"/>
  <c r="B3" i="2"/>
  <c r="B2" i="2"/>
  <c r="H2" i="1"/>
  <c r="H3" i="1"/>
  <c r="H4" i="1"/>
  <c r="H5" i="1"/>
  <c r="H7" i="1"/>
  <c r="H8" i="1"/>
  <c r="H9" i="1"/>
  <c r="H11" i="1"/>
  <c r="G2" i="1"/>
  <c r="G3" i="1"/>
  <c r="G4" i="1"/>
  <c r="G5" i="1"/>
  <c r="G6" i="1"/>
  <c r="G7" i="1"/>
  <c r="G8" i="1"/>
  <c r="G9" i="1"/>
  <c r="G10" i="1"/>
  <c r="G11" i="1"/>
  <c r="F2" i="1"/>
  <c r="F3" i="1"/>
  <c r="F4" i="1"/>
  <c r="F5" i="1"/>
  <c r="F6" i="1"/>
  <c r="H6" i="1" s="1"/>
  <c r="F7" i="1"/>
  <c r="F8" i="1"/>
  <c r="F9" i="1"/>
  <c r="F10" i="1"/>
  <c r="H10" i="1" s="1"/>
  <c r="F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<sst xmlns="http://schemas.openxmlformats.org/spreadsheetml/2006/main" count="40" uniqueCount="37">
  <si>
    <t>Student ID</t>
  </si>
  <si>
    <t>Student Name</t>
  </si>
  <si>
    <t>Math</t>
  </si>
  <si>
    <t>Science</t>
  </si>
  <si>
    <t>English</t>
  </si>
  <si>
    <t>Total Marks</t>
  </si>
  <si>
    <t>Average Marks</t>
  </si>
  <si>
    <t>Result</t>
  </si>
  <si>
    <t>Rahul</t>
  </si>
  <si>
    <t>Priya</t>
  </si>
  <si>
    <t>Amit</t>
  </si>
  <si>
    <t>Neha</t>
  </si>
  <si>
    <t>Karan</t>
  </si>
  <si>
    <t>Riya</t>
  </si>
  <si>
    <t>Arjun</t>
  </si>
  <si>
    <t>Pooja</t>
  </si>
  <si>
    <t>Vivek</t>
  </si>
  <si>
    <t>Sneha</t>
  </si>
  <si>
    <t>Highest Total Marks</t>
  </si>
  <si>
    <t>Lowest Total Marks</t>
  </si>
  <si>
    <t>Average Class Marks</t>
  </si>
  <si>
    <t>Number of Passed Students</t>
  </si>
  <si>
    <t>Number of Failed Students</t>
  </si>
  <si>
    <t>Topper Name</t>
  </si>
  <si>
    <t>Passed Students</t>
  </si>
  <si>
    <t>Failed Students</t>
  </si>
  <si>
    <t>Hightest Marks</t>
  </si>
  <si>
    <t>PASS VS FAIL DISTRIBUTION</t>
  </si>
  <si>
    <t>STUDENT TOTAL MARKS</t>
  </si>
  <si>
    <t>PERFORMANCE SUMMARY</t>
  </si>
  <si>
    <t>STUDENT PERFORMANCE DASHBOARD</t>
  </si>
  <si>
    <t>Total Students</t>
  </si>
  <si>
    <t>Average of Total Marks</t>
  </si>
  <si>
    <t>Average of Average Marks</t>
  </si>
  <si>
    <t>Pass Percentage</t>
  </si>
  <si>
    <t>Fail Percentage</t>
  </si>
  <si>
    <t>AVERAGE MARKS BY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</si>
</sst>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 style="medium">
        <color theme="2" tint="-0.249977111117893"/>
      </top>
      <bottom/>
      <diagonal/>
    </border>
    <border>
      <left/>
      <right style="thin">
        <color rgb="FF002060"/>
      </right>
      <top style="medium">
        <color theme="2" tint="-0.249977111117893"/>
      </top>
      <bottom/>
      <diagonal/>
    </border>
    <border>
      <left/>
      <right style="thin">
        <color rgb="FF002060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medium">
        <color theme="2" tint="-0.249977111117893"/>
      </right>
      <top style="thin">
        <color theme="2" tint="-0.499984740745262"/>
      </top>
      <bottom/>
      <diagonal/>
    </border>
    <border>
      <left style="medium">
        <color theme="2" tint="-0.249977111117893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medium">
        <color theme="2" tint="-0.249977111117893"/>
      </right>
      <top/>
      <bottom style="thin">
        <color theme="2" tint="-0.499984740745262"/>
      </bottom>
      <diagonal/>
    </border>
    <border>
      <left style="medium">
        <color theme="2" tint="-0.249977111117893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6" fillId="6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 wrapText="1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19" xfId="1" applyFont="1" applyBorder="1" applyAlignment="1">
      <alignment horizontal="center" vertical="center"/>
    </xf>
    <xf numFmtId="9" fontId="0" fillId="0" borderId="18" xfId="1" applyFont="1" applyBorder="1" applyAlignment="1">
      <alignment horizontal="center" vertical="center"/>
    </xf>
    <xf numFmtId="9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0" fillId="9" borderId="1" xfId="0" applyFill="1" applyBorder="1"/>
  </cellXfs>
  <cellStyles count="2">
    <cellStyle name="Normal" xfId="0" builtinId="0"/>
    <cellStyle name="Percent" xfId="1" builtinId="5"/>
  </cellStyles>
  <dxfs count="10"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FD-408E-AD7C-D5D9CCBCA9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FD-408E-AD7C-D5D9CCBCA9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Analysis!$A$5:$A$6</c:f>
              <c:strCache>
                <c:ptCount val="2"/>
                <c:pt idx="0">
                  <c:v>Number of Passed Students</c:v>
                </c:pt>
                <c:pt idx="1">
                  <c:v>Number of Failed Students</c:v>
                </c:pt>
              </c:strCache>
            </c:strRef>
          </c:cat>
          <c:val>
            <c:numRef>
              <c:f>Analysis!$B$5:$B$6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D-408E-AD7C-D5D9CCBCA9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7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sx="110000" sy="110000" algn="ctr" rotWithShape="0">
                  <a:srgbClr val="000000">
                    <a:alpha val="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Student_Data!$F$1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Student_Data!$B$2:$B$11</c:f>
              <c:strCache>
                <c:ptCount val="10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Neha</c:v>
                </c:pt>
                <c:pt idx="4">
                  <c:v>Karan</c:v>
                </c:pt>
                <c:pt idx="5">
                  <c:v>Riya</c:v>
                </c:pt>
                <c:pt idx="6">
                  <c:v>Arjun</c:v>
                </c:pt>
                <c:pt idx="7">
                  <c:v>Pooja</c:v>
                </c:pt>
                <c:pt idx="8">
                  <c:v>Vivek</c:v>
                </c:pt>
                <c:pt idx="9">
                  <c:v>Sneha</c:v>
                </c:pt>
              </c:strCache>
            </c:strRef>
          </c:cat>
          <c:val>
            <c:numRef>
              <c:f>Student_Data!$F$2:$F$11</c:f>
              <c:numCache>
                <c:formatCode>General</c:formatCode>
                <c:ptCount val="10"/>
                <c:pt idx="0">
                  <c:v>253</c:v>
                </c:pt>
                <c:pt idx="1">
                  <c:v>275</c:v>
                </c:pt>
                <c:pt idx="2">
                  <c:v>205</c:v>
                </c:pt>
                <c:pt idx="3">
                  <c:v>236</c:v>
                </c:pt>
                <c:pt idx="4">
                  <c:v>118</c:v>
                </c:pt>
                <c:pt idx="5">
                  <c:v>285</c:v>
                </c:pt>
                <c:pt idx="6">
                  <c:v>217</c:v>
                </c:pt>
                <c:pt idx="7">
                  <c:v>262</c:v>
                </c:pt>
                <c:pt idx="8">
                  <c:v>117</c:v>
                </c:pt>
                <c:pt idx="9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8-4DA8-8AAC-01FA8BE37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1329407"/>
        <c:axId val="621306367"/>
      </c:barChart>
      <c:catAx>
        <c:axId val="6213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06367"/>
        <c:crosses val="autoZero"/>
        <c:auto val="1"/>
        <c:lblAlgn val="ctr"/>
        <c:lblOffset val="100"/>
        <c:noMultiLvlLbl val="0"/>
      </c:catAx>
      <c:valAx>
        <c:axId val="6213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2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Student_Data!$G$1</c:f>
              <c:strCache>
                <c:ptCount val="1"/>
                <c:pt idx="0">
                  <c:v>Average Marks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Student_Data!$B$2:$B$11</c:f>
              <c:strCache>
                <c:ptCount val="10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Neha</c:v>
                </c:pt>
                <c:pt idx="4">
                  <c:v>Karan</c:v>
                </c:pt>
                <c:pt idx="5">
                  <c:v>Riya</c:v>
                </c:pt>
                <c:pt idx="6">
                  <c:v>Arjun</c:v>
                </c:pt>
                <c:pt idx="7">
                  <c:v>Pooja</c:v>
                </c:pt>
                <c:pt idx="8">
                  <c:v>Vivek</c:v>
                </c:pt>
                <c:pt idx="9">
                  <c:v>Sneha</c:v>
                </c:pt>
              </c:strCache>
            </c:strRef>
          </c:cat>
          <c:val>
            <c:numRef>
              <c:f>Student_Data!$G$2:$G$11</c:f>
              <c:numCache>
                <c:formatCode>0.00</c:formatCode>
                <c:ptCount val="10"/>
                <c:pt idx="0">
                  <c:v>84.333333333333329</c:v>
                </c:pt>
                <c:pt idx="1">
                  <c:v>91.666666666666671</c:v>
                </c:pt>
                <c:pt idx="2">
                  <c:v>68.333333333333329</c:v>
                </c:pt>
                <c:pt idx="3">
                  <c:v>78.666666666666671</c:v>
                </c:pt>
                <c:pt idx="4">
                  <c:v>39.333333333333336</c:v>
                </c:pt>
                <c:pt idx="5">
                  <c:v>95</c:v>
                </c:pt>
                <c:pt idx="6">
                  <c:v>72.333333333333329</c:v>
                </c:pt>
                <c:pt idx="7">
                  <c:v>87.333333333333329</c:v>
                </c:pt>
                <c:pt idx="8">
                  <c:v>39</c:v>
                </c:pt>
                <c:pt idx="9">
                  <c:v>82.666666666666671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3-4B36-820E-179A210C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1325567"/>
        <c:axId val="621327967"/>
      </c:barChart>
      <c:catAx>
        <c:axId val="62132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27967"/>
        <c:crosses val="autoZero"/>
        <c:auto val="1"/>
        <c:lblAlgn val="ctr"/>
        <c:lblOffset val="100"/>
        <c:noMultiLvlLbl val="0"/>
      </c:catAx>
      <c:valAx>
        <c:axId val="62132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2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14</xdr:row>
      <xdr:rowOff>15240</xdr:rowOff>
    </xdr:from>
    <xdr:to>
      <xdr:col>10</xdr:col>
      <xdr:colOff>586740</xdr:colOff>
      <xdr:row>29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B031A-BF84-4C2A-A29A-B4193CA1C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17721</xdr:rowOff>
    </xdr:from>
    <xdr:to>
      <xdr:col>20</xdr:col>
      <xdr:colOff>581069</xdr:colOff>
      <xdr:row>20</xdr:row>
      <xdr:rowOff>40581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A22CED-8BDD-4EDC-A2B8-7022E73D2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16480</xdr:colOff>
      <xdr:row>4</xdr:row>
      <xdr:rowOff>183589</xdr:rowOff>
    </xdr:from>
    <xdr:to>
      <xdr:col>30</xdr:col>
      <xdr:colOff>8861</xdr:colOff>
      <xdr:row>19</xdr:row>
      <xdr:rowOff>183589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AB5C05-5EFC-4937-9897-297F8F345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3C773-B64E-49A9-85BD-A363F42A94EC}" name="Student_Table" displayName="Student_Table" ref="A1:H11" totalsRowShown="0">
  <autoFilter ref="A1:H11" xr:uid="{0063C773-B64E-49A9-85BD-A363F42A94EC}"/>
  <tableColumns count="8">
    <tableColumn id="1" xr3:uid="{2F2A2EA9-E4A5-43BB-8EC7-98E7FD16094C}" name="Student ID" dataDxfId="4"/>
    <tableColumn id="2" xr3:uid="{DFFA9E90-D2D0-4B69-B76E-E46B362F24D8}" name="Student Name" dataDxfId="2"/>
    <tableColumn id="3" xr3:uid="{023E8E62-E1C1-4877-9136-C188D45EF8A2}" name="Math" dataDxfId="3"/>
    <tableColumn id="4" xr3:uid="{F2DDBF3E-8E5D-440F-86AA-E553E2188BC6}" name="Science" dataDxfId="9"/>
    <tableColumn id="5" xr3:uid="{C3474740-72EA-4D2D-AF7C-7AE04C5FAE02}" name="English" dataDxfId="8"/>
    <tableColumn id="6" xr3:uid="{D8D9729B-8453-4D7C-AF87-EC8C4CF2F161}" name="Total Marks" dataDxfId="7">
      <calculatedColumnFormula>SUM(Student_Table[[#This Row],[Math]],Student_Table[[#This Row],[Science]],Student_Table[[#This Row],[English]])</calculatedColumnFormula>
    </tableColumn>
    <tableColumn id="7" xr3:uid="{928FAFAE-8445-4A82-9993-7E46C7A6C401}" name="Average Marks" dataDxfId="6">
      <calculatedColumnFormula>AVERAGE(Student_Table[[#This Row],[Math]],Student_Table[[#This Row],[Science]],Student_Table[[#This Row],[English]])</calculatedColumnFormula>
    </tableColumn>
    <tableColumn id="8" xr3:uid="{B579D16D-4C9A-42B4-A7D7-2987AC67DAD9}" name="Result" dataDxfId="5">
      <calculatedColumnFormula>IF(Student_Table[[#This Row],[Total Marks]]&gt;=120,"Pass","Fail")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38135"/>
      </a:accent1>
      <a:accent2>
        <a:srgbClr val="FF0000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71EC-D54B-4C20-B5D6-F76799A66087}">
  <dimension ref="A1:H11"/>
  <sheetViews>
    <sheetView tabSelected="1" workbookViewId="0">
      <selection activeCell="H3" sqref="H3"/>
    </sheetView>
  </sheetViews>
  <sheetFormatPr defaultRowHeight="14.4" x14ac:dyDescent="0.3"/>
  <cols>
    <col min="1" max="1" width="11.77734375" style="1" customWidth="1"/>
    <col min="2" max="2" width="15" style="1" customWidth="1"/>
    <col min="3" max="3" width="8.88671875" style="1"/>
    <col min="4" max="4" width="9.21875" style="1" customWidth="1"/>
    <col min="5" max="5" width="8.88671875" style="1"/>
    <col min="6" max="6" width="12.77734375" style="1" customWidth="1"/>
    <col min="7" max="7" width="15.44140625" style="2" customWidth="1"/>
    <col min="8" max="8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 s="3">
        <v>101</v>
      </c>
      <c r="B2" s="3" t="s">
        <v>8</v>
      </c>
      <c r="C2" s="3">
        <v>85</v>
      </c>
      <c r="D2" s="3">
        <v>78</v>
      </c>
      <c r="E2" s="3">
        <v>90</v>
      </c>
      <c r="F2" s="1">
        <f>SUM(Student_Table[[#This Row],[Math]],Student_Table[[#This Row],[Science]],Student_Table[[#This Row],[English]])</f>
        <v>253</v>
      </c>
      <c r="G2" s="2">
        <f>AVERAGE(Student_Table[[#This Row],[Math]],Student_Table[[#This Row],[Science]],Student_Table[[#This Row],[English]])</f>
        <v>84.333333333333329</v>
      </c>
      <c r="H2" s="1" t="str">
        <f>IF(Student_Table[[#This Row],[Total Marks]]&gt;=120,"Pass","Fail")</f>
        <v>Pass</v>
      </c>
    </row>
    <row r="3" spans="1:8" x14ac:dyDescent="0.3">
      <c r="A3" s="3">
        <v>102</v>
      </c>
      <c r="B3" s="3" t="s">
        <v>9</v>
      </c>
      <c r="C3" s="3">
        <v>92</v>
      </c>
      <c r="D3" s="3">
        <v>88</v>
      </c>
      <c r="E3" s="3">
        <v>95</v>
      </c>
      <c r="F3" s="1">
        <f>SUM(Student_Table[[#This Row],[Math]],Student_Table[[#This Row],[Science]],Student_Table[[#This Row],[English]])</f>
        <v>275</v>
      </c>
      <c r="G3" s="2">
        <f>AVERAGE(Student_Table[[#This Row],[Math]],Student_Table[[#This Row],[Science]],Student_Table[[#This Row],[English]])</f>
        <v>91.666666666666671</v>
      </c>
      <c r="H3" s="1" t="str">
        <f>IF(Student_Table[[#This Row],[Total Marks]]&gt;=120,"Pass","Fail")</f>
        <v>Pass</v>
      </c>
    </row>
    <row r="4" spans="1:8" x14ac:dyDescent="0.3">
      <c r="A4" s="3">
        <v>103</v>
      </c>
      <c r="B4" s="3" t="s">
        <v>10</v>
      </c>
      <c r="C4" s="3">
        <v>65</v>
      </c>
      <c r="D4" s="3">
        <v>72</v>
      </c>
      <c r="E4" s="3">
        <v>68</v>
      </c>
      <c r="F4" s="1">
        <f>SUM(Student_Table[[#This Row],[Math]],Student_Table[[#This Row],[Science]],Student_Table[[#This Row],[English]])</f>
        <v>205</v>
      </c>
      <c r="G4" s="2">
        <f>AVERAGE(Student_Table[[#This Row],[Math]],Student_Table[[#This Row],[Science]],Student_Table[[#This Row],[English]])</f>
        <v>68.333333333333329</v>
      </c>
      <c r="H4" s="1" t="str">
        <f>IF(Student_Table[[#This Row],[Total Marks]]&gt;=120,"Pass","Fail")</f>
        <v>Pass</v>
      </c>
    </row>
    <row r="5" spans="1:8" x14ac:dyDescent="0.3">
      <c r="A5" s="3">
        <v>104</v>
      </c>
      <c r="B5" s="3" t="s">
        <v>11</v>
      </c>
      <c r="C5" s="3">
        <v>76</v>
      </c>
      <c r="D5" s="3">
        <v>81</v>
      </c>
      <c r="E5" s="3">
        <v>79</v>
      </c>
      <c r="F5" s="1">
        <f>SUM(Student_Table[[#This Row],[Math]],Student_Table[[#This Row],[Science]],Student_Table[[#This Row],[English]])</f>
        <v>236</v>
      </c>
      <c r="G5" s="2">
        <f>AVERAGE(Student_Table[[#This Row],[Math]],Student_Table[[#This Row],[Science]],Student_Table[[#This Row],[English]])</f>
        <v>78.666666666666671</v>
      </c>
      <c r="H5" s="1" t="str">
        <f>IF(Student_Table[[#This Row],[Total Marks]]&gt;=120,"Pass","Fail")</f>
        <v>Pass</v>
      </c>
    </row>
    <row r="6" spans="1:8" x14ac:dyDescent="0.3">
      <c r="A6" s="3">
        <v>105</v>
      </c>
      <c r="B6" s="3" t="s">
        <v>12</v>
      </c>
      <c r="C6" s="3">
        <v>27</v>
      </c>
      <c r="D6" s="3">
        <v>43</v>
      </c>
      <c r="E6" s="3">
        <v>48</v>
      </c>
      <c r="F6" s="1">
        <f>SUM(Student_Table[[#This Row],[Math]],Student_Table[[#This Row],[Science]],Student_Table[[#This Row],[English]])</f>
        <v>118</v>
      </c>
      <c r="G6" s="2">
        <f>AVERAGE(Student_Table[[#This Row],[Math]],Student_Table[[#This Row],[Science]],Student_Table[[#This Row],[English]])</f>
        <v>39.333333333333336</v>
      </c>
      <c r="H6" s="1" t="str">
        <f>IF(Student_Table[[#This Row],[Total Marks]]&gt;=120,"Pass","Fail")</f>
        <v>Fail</v>
      </c>
    </row>
    <row r="7" spans="1:8" x14ac:dyDescent="0.3">
      <c r="A7" s="3">
        <v>106</v>
      </c>
      <c r="B7" s="3" t="s">
        <v>13</v>
      </c>
      <c r="C7" s="3">
        <v>95</v>
      </c>
      <c r="D7" s="3">
        <v>93</v>
      </c>
      <c r="E7" s="3">
        <v>97</v>
      </c>
      <c r="F7" s="1">
        <f>SUM(Student_Table[[#This Row],[Math]],Student_Table[[#This Row],[Science]],Student_Table[[#This Row],[English]])</f>
        <v>285</v>
      </c>
      <c r="G7" s="2">
        <f>AVERAGE(Student_Table[[#This Row],[Math]],Student_Table[[#This Row],[Science]],Student_Table[[#This Row],[English]])</f>
        <v>95</v>
      </c>
      <c r="H7" s="1" t="str">
        <f>IF(Student_Table[[#This Row],[Total Marks]]&gt;=120,"Pass","Fail")</f>
        <v>Pass</v>
      </c>
    </row>
    <row r="8" spans="1:8" x14ac:dyDescent="0.3">
      <c r="A8" s="3">
        <v>107</v>
      </c>
      <c r="B8" s="3" t="s">
        <v>14</v>
      </c>
      <c r="C8" s="3">
        <v>70</v>
      </c>
      <c r="D8" s="3">
        <v>75</v>
      </c>
      <c r="E8" s="3">
        <v>72</v>
      </c>
      <c r="F8" s="1">
        <f>SUM(Student_Table[[#This Row],[Math]],Student_Table[[#This Row],[Science]],Student_Table[[#This Row],[English]])</f>
        <v>217</v>
      </c>
      <c r="G8" s="2">
        <f>AVERAGE(Student_Table[[#This Row],[Math]],Student_Table[[#This Row],[Science]],Student_Table[[#This Row],[English]])</f>
        <v>72.333333333333329</v>
      </c>
      <c r="H8" s="1" t="str">
        <f>IF(Student_Table[[#This Row],[Total Marks]]&gt;=120,"Pass","Fail")</f>
        <v>Pass</v>
      </c>
    </row>
    <row r="9" spans="1:8" x14ac:dyDescent="0.3">
      <c r="A9" s="3">
        <v>108</v>
      </c>
      <c r="B9" s="3" t="s">
        <v>15</v>
      </c>
      <c r="C9" s="3">
        <v>88</v>
      </c>
      <c r="D9" s="3">
        <v>84</v>
      </c>
      <c r="E9" s="3">
        <v>90</v>
      </c>
      <c r="F9" s="1">
        <f>SUM(Student_Table[[#This Row],[Math]],Student_Table[[#This Row],[Science]],Student_Table[[#This Row],[English]])</f>
        <v>262</v>
      </c>
      <c r="G9" s="2">
        <f>AVERAGE(Student_Table[[#This Row],[Math]],Student_Table[[#This Row],[Science]],Student_Table[[#This Row],[English]])</f>
        <v>87.333333333333329</v>
      </c>
      <c r="H9" s="1" t="str">
        <f>IF(Student_Table[[#This Row],[Total Marks]]&gt;=120,"Pass","Fail")</f>
        <v>Pass</v>
      </c>
    </row>
    <row r="10" spans="1:8" x14ac:dyDescent="0.3">
      <c r="A10" s="3">
        <v>109</v>
      </c>
      <c r="B10" s="3" t="s">
        <v>16</v>
      </c>
      <c r="C10" s="3">
        <v>32</v>
      </c>
      <c r="D10" s="3">
        <v>25</v>
      </c>
      <c r="E10" s="3">
        <v>60</v>
      </c>
      <c r="F10" s="1">
        <f>SUM(Student_Table[[#This Row],[Math]],Student_Table[[#This Row],[Science]],Student_Table[[#This Row],[English]])</f>
        <v>117</v>
      </c>
      <c r="G10" s="2">
        <f>AVERAGE(Student_Table[[#This Row],[Math]],Student_Table[[#This Row],[Science]],Student_Table[[#This Row],[English]])</f>
        <v>39</v>
      </c>
      <c r="H10" s="1" t="str">
        <f>IF(Student_Table[[#This Row],[Total Marks]]&gt;=120,"Pass","Fail")</f>
        <v>Fail</v>
      </c>
    </row>
    <row r="11" spans="1:8" x14ac:dyDescent="0.3">
      <c r="A11" s="3">
        <v>110</v>
      </c>
      <c r="B11" s="3" t="s">
        <v>17</v>
      </c>
      <c r="C11" s="3">
        <v>80</v>
      </c>
      <c r="D11" s="3">
        <v>86</v>
      </c>
      <c r="E11" s="3">
        <v>82</v>
      </c>
      <c r="F11" s="1">
        <f>SUM(Student_Table[[#This Row],[Math]],Student_Table[[#This Row],[Science]],Student_Table[[#This Row],[English]])</f>
        <v>248</v>
      </c>
      <c r="G11" s="2">
        <f>AVERAGE(Student_Table[[#This Row],[Math]],Student_Table[[#This Row],[Science]],Student_Table[[#This Row],[English]])</f>
        <v>82.666666666666671</v>
      </c>
      <c r="H11" s="1" t="str">
        <f>IF(Student_Table[[#This Row],[Total Marks]]&gt;=120,"Pass","Fail")</f>
        <v>Pass</v>
      </c>
    </row>
  </sheetData>
  <conditionalFormatting sqref="H1:H1048576">
    <cfRule type="containsText" dxfId="1" priority="2" operator="containsText" text="Fail">
      <formula>NOT(ISERROR(SEARCH("Fail",H1)))</formula>
    </cfRule>
  </conditionalFormatting>
  <conditionalFormatting sqref="F1:F1048576">
    <cfRule type="top10" dxfId="0" priority="1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1755-B91E-4B53-8CE0-1892878D09F7}">
  <dimension ref="A2:B7"/>
  <sheetViews>
    <sheetView workbookViewId="0">
      <selection activeCell="A2" sqref="A2:B7"/>
    </sheetView>
  </sheetViews>
  <sheetFormatPr defaultRowHeight="14.4" x14ac:dyDescent="0.3"/>
  <cols>
    <col min="1" max="1" width="23.109375" style="4" customWidth="1"/>
  </cols>
  <sheetData>
    <row r="2" spans="1:2" x14ac:dyDescent="0.3">
      <c r="A2" s="110" t="s">
        <v>18</v>
      </c>
      <c r="B2" s="111">
        <f>MAX(Student_Table[[#All],[Total Marks]])</f>
        <v>285</v>
      </c>
    </row>
    <row r="3" spans="1:2" x14ac:dyDescent="0.3">
      <c r="A3" s="110" t="s">
        <v>19</v>
      </c>
      <c r="B3" s="111">
        <f>MIN(Student_Table[[#All],[Total Marks]])</f>
        <v>117</v>
      </c>
    </row>
    <row r="4" spans="1:2" x14ac:dyDescent="0.3">
      <c r="A4" s="110" t="s">
        <v>20</v>
      </c>
      <c r="B4" s="111">
        <f>AVERAGE(Student_Table[[#All],[Total Marks]])</f>
        <v>221.6</v>
      </c>
    </row>
    <row r="5" spans="1:2" ht="28.8" x14ac:dyDescent="0.3">
      <c r="A5" s="110" t="s">
        <v>21</v>
      </c>
      <c r="B5" s="111">
        <f>COUNTIF(Student_Table[[#All],[Result]],"Pass")</f>
        <v>8</v>
      </c>
    </row>
    <row r="6" spans="1:2" ht="28.8" x14ac:dyDescent="0.3">
      <c r="A6" s="110" t="s">
        <v>22</v>
      </c>
      <c r="B6" s="111">
        <f>COUNTIF(Student_Table[[#All],[Result]],"Fail")</f>
        <v>2</v>
      </c>
    </row>
    <row r="7" spans="1:2" x14ac:dyDescent="0.3">
      <c r="A7" s="110" t="s">
        <v>23</v>
      </c>
      <c r="B7" s="111" t="str" cm="1">
        <f t="array" ref="B7">_xlfn.XLOOKUP(B2,Student_Table[[#All],[Total Marks]],Student_Table[[#All],[Student Name]])</f>
        <v>Riya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2F19-472C-4FD4-B03E-122145EBF55F}">
  <dimension ref="A1:AE29"/>
  <sheetViews>
    <sheetView showGridLines="0" showRowColHeaders="0" zoomScale="88" zoomScaleNormal="88" workbookViewId="0">
      <selection activeCell="W4" sqref="W4:AD5"/>
    </sheetView>
  </sheetViews>
  <sheetFormatPr defaultRowHeight="14.4" x14ac:dyDescent="0.3"/>
  <cols>
    <col min="2" max="2" width="6.88671875" customWidth="1"/>
    <col min="4" max="4" width="2.33203125" customWidth="1"/>
    <col min="6" max="6" width="6.33203125" customWidth="1"/>
    <col min="8" max="8" width="2.44140625" customWidth="1"/>
    <col min="10" max="10" width="6.44140625" customWidth="1"/>
    <col min="12" max="12" width="3" customWidth="1"/>
    <col min="19" max="19" width="8.21875" customWidth="1"/>
    <col min="20" max="21" width="8.5546875" customWidth="1"/>
    <col min="22" max="22" width="2.5546875" customWidth="1"/>
    <col min="26" max="26" width="9.109375" customWidth="1"/>
  </cols>
  <sheetData>
    <row r="1" spans="1:31" ht="22.8" customHeight="1" x14ac:dyDescent="0.3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7.399999999999999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15" customHeight="1" thickBot="1" x14ac:dyDescent="0.35"/>
    <row r="4" spans="1:31" x14ac:dyDescent="0.3">
      <c r="A4" s="12" t="s">
        <v>26</v>
      </c>
      <c r="B4" s="13"/>
      <c r="C4" s="14"/>
      <c r="E4" s="24" t="s">
        <v>6</v>
      </c>
      <c r="F4" s="25"/>
      <c r="G4" s="26"/>
      <c r="I4" s="30" t="s">
        <v>23</v>
      </c>
      <c r="J4" s="31"/>
      <c r="K4" s="32"/>
      <c r="N4" s="62" t="s">
        <v>28</v>
      </c>
      <c r="O4" s="63"/>
      <c r="P4" s="63"/>
      <c r="Q4" s="63"/>
      <c r="R4" s="63"/>
      <c r="S4" s="63"/>
      <c r="T4" s="63"/>
      <c r="U4" s="64"/>
      <c r="W4" s="60" t="s">
        <v>36</v>
      </c>
      <c r="X4" s="60"/>
      <c r="Y4" s="60"/>
      <c r="Z4" s="60"/>
      <c r="AA4" s="60"/>
      <c r="AB4" s="60"/>
      <c r="AC4" s="60"/>
      <c r="AD4" s="60"/>
    </row>
    <row r="5" spans="1:31" ht="15" thickBot="1" x14ac:dyDescent="0.35">
      <c r="A5" s="15"/>
      <c r="B5" s="16"/>
      <c r="C5" s="17"/>
      <c r="E5" s="27"/>
      <c r="F5" s="28"/>
      <c r="G5" s="29"/>
      <c r="I5" s="33"/>
      <c r="J5" s="34"/>
      <c r="K5" s="35"/>
      <c r="N5" s="65"/>
      <c r="O5" s="66"/>
      <c r="P5" s="66"/>
      <c r="Q5" s="66"/>
      <c r="R5" s="66"/>
      <c r="S5" s="66"/>
      <c r="T5" s="66"/>
      <c r="U5" s="67"/>
      <c r="W5" s="60"/>
      <c r="X5" s="60"/>
      <c r="Y5" s="60"/>
      <c r="Z5" s="60"/>
      <c r="AA5" s="60"/>
      <c r="AB5" s="60"/>
      <c r="AC5" s="60"/>
      <c r="AD5" s="60"/>
    </row>
    <row r="6" spans="1:31" ht="7.2" customHeight="1" x14ac:dyDescent="0.3">
      <c r="A6" s="6">
        <f>Analysis!B2</f>
        <v>285</v>
      </c>
      <c r="B6" s="7"/>
      <c r="C6" s="8"/>
      <c r="E6" s="18">
        <f>Analysis!B4</f>
        <v>221.6</v>
      </c>
      <c r="F6" s="19"/>
      <c r="G6" s="20"/>
      <c r="I6" s="33" t="str">
        <f>Analysis!B7</f>
        <v>Riya</v>
      </c>
      <c r="J6" s="34"/>
      <c r="K6" s="35"/>
    </row>
    <row r="7" spans="1:31" ht="15" thickBot="1" x14ac:dyDescent="0.35">
      <c r="A7" s="9"/>
      <c r="B7" s="10"/>
      <c r="C7" s="11"/>
      <c r="E7" s="21"/>
      <c r="F7" s="22"/>
      <c r="G7" s="23"/>
      <c r="I7" s="36"/>
      <c r="J7" s="37"/>
      <c r="K7" s="38"/>
    </row>
    <row r="8" spans="1:31" ht="12" customHeight="1" thickBot="1" x14ac:dyDescent="0.35"/>
    <row r="9" spans="1:31" ht="14.4" customHeight="1" x14ac:dyDescent="0.3">
      <c r="A9" s="40" t="s">
        <v>24</v>
      </c>
      <c r="B9" s="56"/>
      <c r="C9" s="57"/>
      <c r="E9" s="39" t="s">
        <v>25</v>
      </c>
      <c r="F9" s="58"/>
      <c r="G9" s="59"/>
    </row>
    <row r="10" spans="1:31" ht="14.4" customHeight="1" x14ac:dyDescent="0.3">
      <c r="A10" s="41"/>
      <c r="B10" s="42"/>
      <c r="C10" s="43"/>
      <c r="E10" s="53"/>
      <c r="F10" s="54"/>
      <c r="G10" s="55"/>
    </row>
    <row r="11" spans="1:31" ht="4.8" customHeight="1" x14ac:dyDescent="0.3">
      <c r="A11" s="41">
        <f>Analysis!B5</f>
        <v>8</v>
      </c>
      <c r="B11" s="42"/>
      <c r="C11" s="43"/>
      <c r="E11" s="47">
        <f>Analysis!B6</f>
        <v>2</v>
      </c>
      <c r="F11" s="48"/>
      <c r="G11" s="49"/>
    </row>
    <row r="12" spans="1:31" ht="15" customHeight="1" thickBot="1" x14ac:dyDescent="0.35">
      <c r="A12" s="44"/>
      <c r="B12" s="45"/>
      <c r="C12" s="46"/>
      <c r="E12" s="50"/>
      <c r="F12" s="51"/>
      <c r="G12" s="52"/>
    </row>
    <row r="13" spans="1:31" ht="6.6" customHeight="1" x14ac:dyDescent="0.3"/>
    <row r="14" spans="1:31" ht="23.4" customHeight="1" x14ac:dyDescent="0.3">
      <c r="B14" s="60" t="s">
        <v>27</v>
      </c>
      <c r="C14" s="61"/>
      <c r="D14" s="61"/>
      <c r="E14" s="61"/>
      <c r="F14" s="61"/>
      <c r="G14" s="61"/>
      <c r="H14" s="61"/>
      <c r="I14" s="61"/>
      <c r="J14" s="61"/>
      <c r="K14" s="61"/>
    </row>
    <row r="22" spans="15:27" x14ac:dyDescent="0.3">
      <c r="O22" s="85" t="s">
        <v>29</v>
      </c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7"/>
    </row>
    <row r="23" spans="15:27" ht="15" thickBot="1" x14ac:dyDescent="0.35">
      <c r="O23" s="88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9"/>
    </row>
    <row r="24" spans="15:27" x14ac:dyDescent="0.3">
      <c r="O24" s="90" t="s">
        <v>31</v>
      </c>
      <c r="P24" s="69"/>
      <c r="Q24" s="68" t="s">
        <v>5</v>
      </c>
      <c r="R24" s="71"/>
      <c r="S24" s="76" t="s">
        <v>32</v>
      </c>
      <c r="T24" s="77"/>
      <c r="U24" s="76" t="s">
        <v>33</v>
      </c>
      <c r="V24" s="80"/>
      <c r="W24" s="77"/>
      <c r="X24" s="68" t="s">
        <v>34</v>
      </c>
      <c r="Y24" s="71"/>
      <c r="Z24" s="68" t="s">
        <v>35</v>
      </c>
      <c r="AA24" s="91"/>
    </row>
    <row r="25" spans="15:27" x14ac:dyDescent="0.3">
      <c r="O25" s="92"/>
      <c r="P25" s="70"/>
      <c r="Q25" s="72"/>
      <c r="R25" s="73"/>
      <c r="S25" s="78"/>
      <c r="T25" s="79"/>
      <c r="U25" s="78"/>
      <c r="V25" s="81"/>
      <c r="W25" s="79"/>
      <c r="X25" s="72"/>
      <c r="Y25" s="73"/>
      <c r="Z25" s="72"/>
      <c r="AA25" s="93"/>
    </row>
    <row r="26" spans="15:27" x14ac:dyDescent="0.3">
      <c r="O26" s="92"/>
      <c r="P26" s="70"/>
      <c r="Q26" s="72"/>
      <c r="R26" s="73"/>
      <c r="S26" s="78"/>
      <c r="T26" s="79"/>
      <c r="U26" s="78"/>
      <c r="V26" s="81"/>
      <c r="W26" s="79"/>
      <c r="X26" s="72"/>
      <c r="Y26" s="73"/>
      <c r="Z26" s="72"/>
      <c r="AA26" s="93"/>
    </row>
    <row r="27" spans="15:27" ht="15" thickBot="1" x14ac:dyDescent="0.35">
      <c r="O27" s="92"/>
      <c r="P27" s="70"/>
      <c r="Q27" s="72"/>
      <c r="R27" s="73"/>
      <c r="S27" s="78"/>
      <c r="T27" s="79"/>
      <c r="U27" s="78"/>
      <c r="V27" s="81"/>
      <c r="W27" s="79"/>
      <c r="X27" s="74"/>
      <c r="Y27" s="75"/>
      <c r="Z27" s="74"/>
      <c r="AA27" s="94"/>
    </row>
    <row r="28" spans="15:27" x14ac:dyDescent="0.3">
      <c r="O28" s="99">
        <f>COUNT(Student_Data!A1:A12)</f>
        <v>10</v>
      </c>
      <c r="P28" s="100"/>
      <c r="Q28" s="101">
        <f>SUM(Student_Data!F2:F11)</f>
        <v>2216</v>
      </c>
      <c r="R28" s="104"/>
      <c r="S28" s="102">
        <f>AVERAGE(Student_Data!F2:F11)</f>
        <v>221.6</v>
      </c>
      <c r="T28" s="104"/>
      <c r="U28" s="103">
        <f>AVERAGE(Student_Data!G2:G11)</f>
        <v>73.86666666666666</v>
      </c>
      <c r="V28" s="102"/>
      <c r="W28" s="104"/>
      <c r="X28" s="83">
        <f>COUNTIF(Student_Data!H1:H11,"Pass")/COUNTA(Student_Data!A2:A11)</f>
        <v>0.8</v>
      </c>
      <c r="Y28" s="83"/>
      <c r="Z28" s="82">
        <f>COUNTIF(Student_Data!H1:H11,"Fail")/(COUNTA(Student_Data!A2:A11))</f>
        <v>0.2</v>
      </c>
      <c r="AA28" s="95"/>
    </row>
    <row r="29" spans="15:27" x14ac:dyDescent="0.3">
      <c r="O29" s="105"/>
      <c r="P29" s="106"/>
      <c r="Q29" s="107"/>
      <c r="R29" s="109"/>
      <c r="S29" s="108"/>
      <c r="T29" s="109"/>
      <c r="U29" s="108"/>
      <c r="V29" s="108"/>
      <c r="W29" s="109"/>
      <c r="X29" s="96"/>
      <c r="Y29" s="96"/>
      <c r="Z29" s="97"/>
      <c r="AA29" s="98"/>
    </row>
  </sheetData>
  <mergeCells count="27">
    <mergeCell ref="O28:P29"/>
    <mergeCell ref="Q28:R29"/>
    <mergeCell ref="S28:T29"/>
    <mergeCell ref="U28:W29"/>
    <mergeCell ref="X28:Y29"/>
    <mergeCell ref="Z28:AA29"/>
    <mergeCell ref="O24:P27"/>
    <mergeCell ref="Q24:R27"/>
    <mergeCell ref="S24:T27"/>
    <mergeCell ref="U24:W27"/>
    <mergeCell ref="X24:Y27"/>
    <mergeCell ref="Z24:AA27"/>
    <mergeCell ref="B14:K14"/>
    <mergeCell ref="A1:AE2"/>
    <mergeCell ref="N4:U5"/>
    <mergeCell ref="W4:AD5"/>
    <mergeCell ref="O22:AA23"/>
    <mergeCell ref="A9:C10"/>
    <mergeCell ref="A11:C12"/>
    <mergeCell ref="E9:G10"/>
    <mergeCell ref="E11:G12"/>
    <mergeCell ref="A4:C5"/>
    <mergeCell ref="A6:C7"/>
    <mergeCell ref="E4:G5"/>
    <mergeCell ref="E6:G7"/>
    <mergeCell ref="I4:K5"/>
    <mergeCell ref="I6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Savaliya</dc:creator>
  <cp:lastModifiedBy>Rita Savaliya</cp:lastModifiedBy>
  <dcterms:created xsi:type="dcterms:W3CDTF">2026-06-13T04:22:02Z</dcterms:created>
  <dcterms:modified xsi:type="dcterms:W3CDTF">2026-06-13T11:35:57Z</dcterms:modified>
</cp:coreProperties>
</file>